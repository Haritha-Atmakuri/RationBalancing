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534093\Desktop\"/>
    </mc:Choice>
  </mc:AlternateContent>
  <bookViews>
    <workbookView xWindow="0" yWindow="0" windowWidth="20415" windowHeight="7590"/>
  </bookViews>
  <sheets>
    <sheet name="Sheet1" sheetId="1" r:id="rId1"/>
  </sheets>
  <definedNames>
    <definedName name="solver_adj" localSheetId="0" hidden="1">Sheet1!$C$7:$G$7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Sheet1!$D$7</definedName>
    <definedName name="solver_lhs10" localSheetId="0" hidden="1">Sheet1!$H$8:$H$10</definedName>
    <definedName name="solver_lhs11" localSheetId="0" hidden="1">Sheet1!$H$8:$H$10</definedName>
    <definedName name="solver_lhs12" localSheetId="0" hidden="1">Sheet1!$H$8:$H$10</definedName>
    <definedName name="solver_lhs13" localSheetId="0" hidden="1">Sheet1!$H$8:$H$10</definedName>
    <definedName name="solver_lhs14" localSheetId="0" hidden="1">Sheet1!$H$8:$H$10</definedName>
    <definedName name="solver_lhs15" localSheetId="0" hidden="1">Sheet1!$H$8:$H$10</definedName>
    <definedName name="solver_lhs16" localSheetId="0" hidden="1">Sheet1!$H$8:$H$10</definedName>
    <definedName name="solver_lhs17" localSheetId="0" hidden="1">Sheet1!$H$8:$H$10</definedName>
    <definedName name="solver_lhs18" localSheetId="0" hidden="1">Sheet1!$H$8:$H$10</definedName>
    <definedName name="solver_lhs19" localSheetId="0" hidden="1">Sheet1!$H$8:$H$10</definedName>
    <definedName name="solver_lhs2" localSheetId="0" hidden="1">Sheet1!$H$8:$H$10</definedName>
    <definedName name="solver_lhs20" localSheetId="0" hidden="1">Sheet1!$H$8:$H$10</definedName>
    <definedName name="solver_lhs21" localSheetId="0" hidden="1">Sheet1!$I$13</definedName>
    <definedName name="solver_lhs22" localSheetId="0" hidden="1">Sheet1!$H$8:$H$10</definedName>
    <definedName name="solver_lhs23" localSheetId="0" hidden="1">Sheet1!$I$13</definedName>
    <definedName name="solver_lhs24" localSheetId="0" hidden="1">Sheet1!$I$13</definedName>
    <definedName name="solver_lhs25" localSheetId="0" hidden="1">Sheet1!$H$8:$H$10</definedName>
    <definedName name="solver_lhs26" localSheetId="0" hidden="1">Sheet1!$I$13</definedName>
    <definedName name="solver_lhs27" localSheetId="0" hidden="1">Sheet1!$I$13</definedName>
    <definedName name="solver_lhs28" localSheetId="0" hidden="1">Sheet1!$I$13</definedName>
    <definedName name="solver_lhs29" localSheetId="0" hidden="1">Sheet1!$I$13</definedName>
    <definedName name="solver_lhs3" localSheetId="0" hidden="1">Sheet1!$H$8:$H$10</definedName>
    <definedName name="solver_lhs30" localSheetId="0" hidden="1">Sheet1!$I$13</definedName>
    <definedName name="solver_lhs31" localSheetId="0" hidden="1">Sheet1!$I$13</definedName>
    <definedName name="solver_lhs32" localSheetId="0" hidden="1">Sheet1!$I$13</definedName>
    <definedName name="solver_lhs33" localSheetId="0" hidden="1">Sheet1!$I$13</definedName>
    <definedName name="solver_lhs4" localSheetId="0" hidden="1">Sheet1!$I$13</definedName>
    <definedName name="solver_lhs5" localSheetId="0" hidden="1">Sheet1!$H$8:$H$10</definedName>
    <definedName name="solver_lhs6" localSheetId="0" hidden="1">Sheet1!$H$8:$H$10</definedName>
    <definedName name="solver_lhs7" localSheetId="0" hidden="1">Sheet1!$I$13</definedName>
    <definedName name="solver_lhs8" localSheetId="0" hidden="1">Sheet1!$H$8:$H$10</definedName>
    <definedName name="solver_lhs9" localSheetId="0" hidden="1">Sheet1!$H$8:$H$10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Sheet1!$H$5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10" localSheetId="0" hidden="1">1</definedName>
    <definedName name="solver_rel11" localSheetId="0" hidden="1">3</definedName>
    <definedName name="solver_rel12" localSheetId="0" hidden="1">3</definedName>
    <definedName name="solver_rel13" localSheetId="0" hidden="1">1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2</definedName>
    <definedName name="solver_rel22" localSheetId="0" hidden="1">3</definedName>
    <definedName name="solver_rel23" localSheetId="0" hidden="1">2</definedName>
    <definedName name="solver_rel24" localSheetId="0" hidden="1">2</definedName>
    <definedName name="solver_rel25" localSheetId="0" hidden="1">3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1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4" localSheetId="0" hidden="1">2</definedName>
    <definedName name="solver_rel5" localSheetId="0" hidden="1">3</definedName>
    <definedName name="solver_rel6" localSheetId="0" hidden="1">1</definedName>
    <definedName name="solver_rel7" localSheetId="0" hidden="1">2</definedName>
    <definedName name="solver_rel8" localSheetId="0" hidden="1">1</definedName>
    <definedName name="solver_rel9" localSheetId="0" hidden="1">1</definedName>
    <definedName name="solver_rhs1" localSheetId="0" hidden="1">5</definedName>
    <definedName name="solver_rhs10" localSheetId="0" hidden="1">Sheet1!$K$8:$K$10</definedName>
    <definedName name="solver_rhs11" localSheetId="0" hidden="1">Sheet1!$I$8:$I$10</definedName>
    <definedName name="solver_rhs12" localSheetId="0" hidden="1">Sheet1!$I$8:$I$10</definedName>
    <definedName name="solver_rhs13" localSheetId="0" hidden="1">Sheet1!$K$8:$K$10</definedName>
    <definedName name="solver_rhs14" localSheetId="0" hidden="1">Sheet1!$I$8:$I$10</definedName>
    <definedName name="solver_rhs15" localSheetId="0" hidden="1">Sheet1!$I$8:$I$10</definedName>
    <definedName name="solver_rhs16" localSheetId="0" hidden="1">Sheet1!$I$8:$I$10</definedName>
    <definedName name="solver_rhs17" localSheetId="0" hidden="1">Sheet1!$I$8:$I$10</definedName>
    <definedName name="solver_rhs18" localSheetId="0" hidden="1">Sheet1!$I$8:$I$10</definedName>
    <definedName name="solver_rhs19" localSheetId="0" hidden="1">Sheet1!$I$8:$I$10</definedName>
    <definedName name="solver_rhs2" localSheetId="0" hidden="1">Sheet1!$I$8:$I$10</definedName>
    <definedName name="solver_rhs20" localSheetId="0" hidden="1">Sheet1!$I$8:$I$10</definedName>
    <definedName name="solver_rhs21" localSheetId="0" hidden="1">100</definedName>
    <definedName name="solver_rhs22" localSheetId="0" hidden="1">Sheet1!$I$8:$I$10</definedName>
    <definedName name="solver_rhs23" localSheetId="0" hidden="1">100</definedName>
    <definedName name="solver_rhs24" localSheetId="0" hidden="1">100</definedName>
    <definedName name="solver_rhs25" localSheetId="0" hidden="1">Sheet1!$I$8:$I$10</definedName>
    <definedName name="solver_rhs26" localSheetId="0" hidden="1">100</definedName>
    <definedName name="solver_rhs27" localSheetId="0" hidden="1">100</definedName>
    <definedName name="solver_rhs28" localSheetId="0" hidden="1">100</definedName>
    <definedName name="solver_rhs29" localSheetId="0" hidden="1">100</definedName>
    <definedName name="solver_rhs3" localSheetId="0" hidden="1">Sheet1!$K$8:$K$10</definedName>
    <definedName name="solver_rhs30" localSheetId="0" hidden="1">100</definedName>
    <definedName name="solver_rhs31" localSheetId="0" hidden="1">100</definedName>
    <definedName name="solver_rhs32" localSheetId="0" hidden="1">100</definedName>
    <definedName name="solver_rhs33" localSheetId="0" hidden="1">100</definedName>
    <definedName name="solver_rhs4" localSheetId="0" hidden="1">100</definedName>
    <definedName name="solver_rhs5" localSheetId="0" hidden="1">Sheet1!$I$8:$I$10</definedName>
    <definedName name="solver_rhs6" localSheetId="0" hidden="1">Sheet1!$K$8:$K$10</definedName>
    <definedName name="solver_rhs7" localSheetId="0" hidden="1">100</definedName>
    <definedName name="solver_rhs8" localSheetId="0" hidden="1">Sheet1!$K$8:$K$10</definedName>
    <definedName name="solver_rhs9" localSheetId="0" hidden="1">Sheet1!$K$8:$K$10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  <c r="H5" i="1"/>
  <c r="H10" i="1"/>
  <c r="H9" i="1"/>
  <c r="H8" i="1"/>
</calcChain>
</file>

<file path=xl/sharedStrings.xml><?xml version="1.0" encoding="utf-8"?>
<sst xmlns="http://schemas.openxmlformats.org/spreadsheetml/2006/main" count="18" uniqueCount="18">
  <si>
    <t>FOODSUFF</t>
  </si>
  <si>
    <t>LBS IN RATION</t>
  </si>
  <si>
    <t>PROTEIN</t>
  </si>
  <si>
    <t>MINERALS</t>
  </si>
  <si>
    <t>%CP</t>
  </si>
  <si>
    <t>%CA</t>
  </si>
  <si>
    <t>%P</t>
  </si>
  <si>
    <t>ALPHAHA HAY</t>
  </si>
  <si>
    <t>SOYBEAN HAY</t>
  </si>
  <si>
    <t>CORN SILAGE , SWEET CORN</t>
  </si>
  <si>
    <t>COST IN DOLLARS PER LB</t>
  </si>
  <si>
    <t>CRITERIA</t>
  </si>
  <si>
    <t>MIN</t>
  </si>
  <si>
    <t>MAX</t>
  </si>
  <si>
    <t>Total Cost</t>
  </si>
  <si>
    <t>Nutrient Ration(LB)</t>
  </si>
  <si>
    <t>LIMESTONE</t>
  </si>
  <si>
    <t>DICAL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</si>
</sst>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27E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11</xdr:row>
          <xdr:rowOff>114300</xdr:rowOff>
        </xdr:from>
        <xdr:to>
          <xdr:col>4</xdr:col>
          <xdr:colOff>876300</xdr:colOff>
          <xdr:row>14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19051</xdr:rowOff>
        </xdr:from>
        <xdr:to>
          <xdr:col>3</xdr:col>
          <xdr:colOff>28575</xdr:colOff>
          <xdr:row>14</xdr:row>
          <xdr:rowOff>85724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K13"/>
  <sheetViews>
    <sheetView tabSelected="1" workbookViewId="0">
      <selection activeCell="D19" sqref="D19"/>
    </sheetView>
  </sheetViews>
  <sheetFormatPr defaultRowHeight="15" x14ac:dyDescent="0.25"/>
  <cols>
    <col min="1" max="1" width="9.140625" style="2"/>
    <col min="2" max="2" width="29.85546875" style="2" customWidth="1"/>
    <col min="3" max="3" width="17.85546875" style="2" customWidth="1"/>
    <col min="4" max="4" width="26" style="2" bestFit="1" customWidth="1"/>
    <col min="5" max="5" width="14.42578125" style="2" customWidth="1"/>
    <col min="6" max="6" width="16.140625" style="2" customWidth="1"/>
    <col min="7" max="7" width="17.140625" style="2" customWidth="1"/>
    <col min="8" max="8" width="24.140625" style="2" customWidth="1"/>
    <col min="9" max="16384" width="9.140625" style="2"/>
  </cols>
  <sheetData>
    <row r="3" spans="1:11" x14ac:dyDescent="0.25">
      <c r="D3" s="1"/>
      <c r="E3" s="1"/>
      <c r="F3" s="1"/>
      <c r="G3" s="1"/>
      <c r="H3" s="1"/>
      <c r="I3" s="1"/>
      <c r="J3" s="1"/>
      <c r="K3" s="1"/>
    </row>
    <row r="4" spans="1:11" x14ac:dyDescent="0.25">
      <c r="B4" s="4" t="s">
        <v>0</v>
      </c>
      <c r="C4" s="6" t="s">
        <v>7</v>
      </c>
      <c r="D4" s="6" t="s">
        <v>9</v>
      </c>
      <c r="E4" s="6" t="s">
        <v>16</v>
      </c>
      <c r="F4" s="6" t="s">
        <v>17</v>
      </c>
      <c r="G4" s="6" t="s">
        <v>8</v>
      </c>
      <c r="H4" s="11" t="s">
        <v>14</v>
      </c>
    </row>
    <row r="5" spans="1:11" x14ac:dyDescent="0.25">
      <c r="B5" s="2" t="s">
        <v>10</v>
      </c>
      <c r="C5" s="2">
        <v>7.1999999999999995E-2</v>
      </c>
      <c r="D5" s="2">
        <v>0.85499999999999998</v>
      </c>
      <c r="E5" s="2">
        <v>6.0000000000000001E-3</v>
      </c>
      <c r="F5" s="2">
        <v>0.22</v>
      </c>
      <c r="G5" s="2">
        <v>0.12</v>
      </c>
      <c r="H5" s="2">
        <f>SUMPRODUCT(C5:G5,C7:G7)</f>
        <v>12.231718764165446</v>
      </c>
    </row>
    <row r="6" spans="1:11" x14ac:dyDescent="0.25">
      <c r="A6" s="2" t="s">
        <v>11</v>
      </c>
      <c r="C6" s="9"/>
      <c r="D6" s="9"/>
      <c r="E6" s="9"/>
      <c r="F6" s="9"/>
      <c r="G6" s="9"/>
      <c r="I6" s="8" t="s">
        <v>12</v>
      </c>
      <c r="K6" s="7" t="s">
        <v>13</v>
      </c>
    </row>
    <row r="7" spans="1:11" x14ac:dyDescent="0.25">
      <c r="B7" s="2" t="s">
        <v>1</v>
      </c>
      <c r="C7" s="10">
        <v>68.735222597964594</v>
      </c>
      <c r="D7" s="10">
        <v>5</v>
      </c>
      <c r="E7" s="10">
        <v>1.5700405661317178</v>
      </c>
      <c r="F7" s="10">
        <v>0.3499407340675682</v>
      </c>
      <c r="G7" s="10">
        <v>24.344796101836156</v>
      </c>
      <c r="H7" s="11" t="s">
        <v>15</v>
      </c>
    </row>
    <row r="8" spans="1:11" x14ac:dyDescent="0.25">
      <c r="A8" s="5" t="s">
        <v>2</v>
      </c>
      <c r="B8" s="2" t="s">
        <v>4</v>
      </c>
      <c r="C8" s="2">
        <v>1.7000000000000001E-2</v>
      </c>
      <c r="D8" s="2">
        <v>8.7999999999999995E-2</v>
      </c>
      <c r="E8" s="2">
        <v>0</v>
      </c>
      <c r="F8" s="2">
        <v>0</v>
      </c>
      <c r="G8" s="2">
        <v>0.50900000000000001</v>
      </c>
      <c r="H8" s="10">
        <f>SUMPRODUCT(C7:G7,C8:G8)</f>
        <v>14.000000000000002</v>
      </c>
      <c r="I8" s="2">
        <v>14</v>
      </c>
      <c r="K8" s="2">
        <v>17</v>
      </c>
    </row>
    <row r="9" spans="1:11" x14ac:dyDescent="0.25">
      <c r="A9" s="3" t="s">
        <v>3</v>
      </c>
      <c r="B9" s="2" t="s">
        <v>5</v>
      </c>
      <c r="C9" s="2">
        <v>1.33E-3</v>
      </c>
      <c r="D9" s="2">
        <v>2.9999999999999997E-4</v>
      </c>
      <c r="E9" s="2">
        <v>0.35799999999999998</v>
      </c>
      <c r="F9" s="2">
        <v>0.23350000000000001</v>
      </c>
      <c r="G9" s="2">
        <v>2.5999999999999999E-3</v>
      </c>
      <c r="H9" s="10">
        <f>SUMPRODUCT(C7:G7,C9:G9)</f>
        <v>0.79999999999999916</v>
      </c>
      <c r="I9" s="2">
        <v>0.5</v>
      </c>
      <c r="K9" s="2">
        <v>0.8</v>
      </c>
    </row>
    <row r="10" spans="1:11" x14ac:dyDescent="0.25">
      <c r="A10" s="3"/>
      <c r="B10" s="2" t="s">
        <v>6</v>
      </c>
      <c r="C10" s="2">
        <v>2.5000000000000001E-3</v>
      </c>
      <c r="D10" s="2">
        <v>2.7000000000000001E-3</v>
      </c>
      <c r="E10" s="2">
        <v>0</v>
      </c>
      <c r="F10" s="2">
        <v>0.18210000000000001</v>
      </c>
      <c r="G10" s="2">
        <v>6.1999999999999998E-3</v>
      </c>
      <c r="H10" s="10">
        <f>SUMPRODUCT(C7:G7,C10:G10)</f>
        <v>0.39999999999999986</v>
      </c>
      <c r="I10" s="2">
        <v>0.4</v>
      </c>
      <c r="K10" s="2">
        <v>0.6</v>
      </c>
    </row>
    <row r="11" spans="1:11" x14ac:dyDescent="0.25">
      <c r="A11" s="3"/>
    </row>
    <row r="13" spans="1:11" hidden="1" x14ac:dyDescent="0.25">
      <c r="I13" s="2">
        <f>SUM(C7:G7)</f>
        <v>100.00000000000004</v>
      </c>
    </row>
  </sheetData>
  <mergeCells count="1">
    <mergeCell ref="A9:A1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>
              <from>
                <xdr:col>2</xdr:col>
                <xdr:colOff>9525</xdr:colOff>
                <xdr:row>12</xdr:row>
                <xdr:rowOff>19050</xdr:rowOff>
              </from>
              <to>
                <xdr:col>3</xdr:col>
                <xdr:colOff>28575</xdr:colOff>
                <xdr:row>14</xdr:row>
                <xdr:rowOff>85725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3</xdr:col>
                <xdr:colOff>1724025</xdr:colOff>
                <xdr:row>11</xdr:row>
                <xdr:rowOff>114300</xdr:rowOff>
              </from>
              <to>
                <xdr:col>4</xdr:col>
                <xdr:colOff>876300</xdr:colOff>
                <xdr:row>14</xdr:row>
                <xdr:rowOff>66675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Northwest Missouri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Madugula,Abhiram</dc:creator>
  <cp:lastModifiedBy>Madugula,Abhiram</cp:lastModifiedBy>
  <dcterms:created xsi:type="dcterms:W3CDTF">2019-07-03T01:00:58Z</dcterms:created>
  <dcterms:modified xsi:type="dcterms:W3CDTF">2019-07-03T06:04:30Z</dcterms:modified>
</cp:coreProperties>
</file>